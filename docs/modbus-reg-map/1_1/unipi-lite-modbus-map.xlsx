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ETULA\Downloads\"/>
    </mc:Choice>
  </mc:AlternateContent>
  <xr:revisionPtr revIDLastSave="22" documentId="13_ncr:1_{33645074-CD03-4E42-946F-F9F85183158E}" xr6:coauthVersionLast="47" xr6:coauthVersionMax="47" xr10:uidLastSave="{AB07A75D-A31D-4644-9880-76643041DD81}"/>
  <bookViews>
    <workbookView xWindow="-120" yWindow="-120" windowWidth="29040" windowHeight="15720" tabRatio="500" xr2:uid="{00000000-000D-0000-FFFF-FFFF00000000}"/>
  </bookViews>
  <sheets>
    <sheet name="Registers" sheetId="1" r:id="rId1"/>
    <sheet name="Coils" sheetId="2" r:id="rId2"/>
    <sheet name="Description" sheetId="3" r:id="rId3"/>
  </sheets>
  <definedNames>
    <definedName name="_xlnm._FilterDatabase" localSheetId="1" hidden="1">Coils!$A$5:$E$5</definedName>
    <definedName name="_xlnm._FilterDatabase" localSheetId="2" hidden="1">Description!#REF!</definedName>
    <definedName name="_xlnm._FilterDatabase" localSheetId="0" hidden="1">Registers!$A$5:$J$5</definedName>
    <definedName name="Neuron_xS50_Coils_group_1.csv" localSheetId="1">Coils!$A$5:$E$5</definedName>
    <definedName name="Neuron_xS50_Registers_group_1.csv" localSheetId="0">Registers!$A$5:$J$5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A1" i="2"/>
  <c r="F2" i="3"/>
  <c r="A1" i="3"/>
  <c r="B11" i="2"/>
  <c r="B10" i="2"/>
  <c r="B9" i="2"/>
  <c r="B8" i="2"/>
  <c r="B7" i="2"/>
  <c r="B6" i="2"/>
  <c r="B13" i="1"/>
  <c r="B31" i="1"/>
  <c r="B30" i="1"/>
  <c r="B29" i="1"/>
  <c r="B28" i="1"/>
  <c r="B27" i="1"/>
  <c r="B26" i="1"/>
  <c r="B25" i="1"/>
  <c r="B24" i="1"/>
  <c r="B23" i="1"/>
  <c r="B22" i="1"/>
  <c r="B21" i="1"/>
  <c r="B20" i="1"/>
  <c r="B6" i="1"/>
</calcChain>
</file>

<file path=xl/sharedStrings.xml><?xml version="1.0" encoding="utf-8"?>
<sst xmlns="http://schemas.openxmlformats.org/spreadsheetml/2006/main" count="122" uniqueCount="62">
  <si>
    <t>Unipi Lite</t>
  </si>
  <si>
    <t>Holding registers</t>
  </si>
  <si>
    <t>v1.0</t>
  </si>
  <si>
    <t>Register Address</t>
  </si>
  <si>
    <t>Length</t>
  </si>
  <si>
    <t>R/W</t>
  </si>
  <si>
    <t>Data Type</t>
  </si>
  <si>
    <t>Content</t>
  </si>
  <si>
    <t>Bit Nr.</t>
  </si>
  <si>
    <t>Category</t>
  </si>
  <si>
    <t>DEC</t>
  </si>
  <si>
    <t>HEX</t>
  </si>
  <si>
    <t>R</t>
  </si>
  <si>
    <t>MixedBits</t>
  </si>
  <si>
    <t>Digital Inputs</t>
  </si>
  <si>
    <t>Basic</t>
  </si>
  <si>
    <t>Digital Input 1</t>
  </si>
  <si>
    <t>Digital Input 2</t>
  </si>
  <si>
    <t>Digital Input 3</t>
  </si>
  <si>
    <t>Digital Input 4</t>
  </si>
  <si>
    <t>Digital Input 5</t>
  </si>
  <si>
    <t>Digital Input 6</t>
  </si>
  <si>
    <t>RW</t>
  </si>
  <si>
    <t>Relay outputs</t>
  </si>
  <si>
    <t>Relay output 1</t>
  </si>
  <si>
    <t>Relay output 2</t>
  </si>
  <si>
    <t>Relay output 3</t>
  </si>
  <si>
    <t>Relay output 4</t>
  </si>
  <si>
    <t>Relay output 5</t>
  </si>
  <si>
    <t>Relay output 6</t>
  </si>
  <si>
    <t>uint32 / udint</t>
  </si>
  <si>
    <t>Counter of Digital Input 1</t>
  </si>
  <si>
    <t>Counter of Digital Input 2</t>
  </si>
  <si>
    <t>Counter of Digital Input 3</t>
  </si>
  <si>
    <t>Counter of Digital Input 4</t>
  </si>
  <si>
    <t>Counter of Digital Input 5</t>
  </si>
  <si>
    <t>Counter of Digital Input 6</t>
  </si>
  <si>
    <t>uint16 / uint</t>
  </si>
  <si>
    <t>Debounce time (in 100μs) for DI 1</t>
  </si>
  <si>
    <t>Advanced</t>
  </si>
  <si>
    <t>Debounce time (in 100μs) for DI 2</t>
  </si>
  <si>
    <t>Debounce time (in 100μs) for DI 3</t>
  </si>
  <si>
    <t>Debounce time (in 100μs) for DI 4</t>
  </si>
  <si>
    <t>Debounce time (in 100μs) for DI 5</t>
  </si>
  <si>
    <t>Debounce time (in 100μs) for DI 6</t>
  </si>
  <si>
    <t>Coils</t>
  </si>
  <si>
    <t>Description</t>
  </si>
  <si>
    <t>Check out the Unipi Knowledge base for more information</t>
  </si>
  <si>
    <t>Byte order</t>
  </si>
  <si>
    <t>0-LSB, 15-MSB</t>
  </si>
  <si>
    <t>Default configuration/values</t>
  </si>
  <si>
    <t>Data</t>
  </si>
  <si>
    <t>Value</t>
  </si>
  <si>
    <t>DI</t>
  </si>
  <si>
    <t>Counter</t>
  </si>
  <si>
    <t>-</t>
  </si>
  <si>
    <t>Debounce</t>
  </si>
  <si>
    <t>0 ms</t>
  </si>
  <si>
    <t>RO</t>
  </si>
  <si>
    <t>State</t>
  </si>
  <si>
    <t>OFF</t>
  </si>
  <si>
    <t>Note: configuration is not permanently saved, set on each power-on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</si>
</sst>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rgb="FF000000"/>
      <name val="Calibri"/>
      <family val="2"/>
      <charset val="238"/>
    </font>
    <font>
      <b/>
      <sz val="16"/>
      <color rgb="FFFFFFFF"/>
      <name val="Calibri"/>
      <family val="2"/>
      <charset val="238"/>
    </font>
    <font>
      <b/>
      <sz val="11"/>
      <color rgb="FF000000"/>
      <name val="Calibri"/>
      <family val="2"/>
      <charset val="238"/>
    </font>
    <font>
      <u/>
      <sz val="11"/>
      <color rgb="FF0563C1"/>
      <name val="Calibri"/>
      <family val="2"/>
      <charset val="238"/>
    </font>
    <font>
      <b/>
      <sz val="16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</font>
    <font>
      <sz val="8"/>
      <name val="Calibri"/>
      <family val="2"/>
      <charset val="238"/>
    </font>
    <font>
      <b/>
      <sz val="11"/>
      <name val="Calibri"/>
      <family val="2"/>
      <charset val="238"/>
    </font>
    <font>
      <b/>
      <sz val="12"/>
      <name val="Calibri"/>
      <family val="2"/>
      <charset val="238"/>
    </font>
    <font>
      <u/>
      <sz val="1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563C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563C1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6" fillId="0" borderId="0" applyBorder="0" applyProtection="0"/>
    <xf numFmtId="0" fontId="2" fillId="0" borderId="0"/>
    <xf numFmtId="0" fontId="8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9" fillId="5" borderId="2" xfId="0" applyFont="1" applyFill="1" applyBorder="1"/>
    <xf numFmtId="0" fontId="7" fillId="4" borderId="2" xfId="0" applyFont="1" applyFill="1" applyBorder="1" applyAlignment="1">
      <alignment vertical="center"/>
    </xf>
    <xf numFmtId="0" fontId="7" fillId="5" borderId="2" xfId="0" applyFont="1" applyFill="1" applyBorder="1"/>
    <xf numFmtId="0" fontId="7" fillId="5" borderId="3" xfId="0" applyFont="1" applyFill="1" applyBorder="1"/>
    <xf numFmtId="0" fontId="9" fillId="5" borderId="5" xfId="0" applyFont="1" applyFill="1" applyBorder="1"/>
    <xf numFmtId="0" fontId="7" fillId="4" borderId="5" xfId="0" applyFont="1" applyFill="1" applyBorder="1" applyAlignment="1">
      <alignment vertical="center"/>
    </xf>
    <xf numFmtId="0" fontId="12" fillId="5" borderId="6" xfId="0" applyFont="1" applyFill="1" applyBorder="1" applyAlignment="1">
      <alignment horizontal="right" vertical="center"/>
    </xf>
    <xf numFmtId="0" fontId="7" fillId="2" borderId="2" xfId="0" applyFont="1" applyFill="1" applyBorder="1"/>
    <xf numFmtId="0" fontId="3" fillId="0" borderId="2" xfId="0" applyFont="1" applyBorder="1"/>
    <xf numFmtId="49" fontId="11" fillId="4" borderId="7" xfId="0" applyNumberFormat="1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vertical="top"/>
    </xf>
    <xf numFmtId="0" fontId="0" fillId="0" borderId="7" xfId="0" applyBorder="1" applyAlignment="1">
      <alignment horizontal="right" vertical="top"/>
    </xf>
    <xf numFmtId="0" fontId="0" fillId="0" borderId="7" xfId="0" applyBorder="1" applyAlignment="1">
      <alignment vertical="top"/>
    </xf>
    <xf numFmtId="0" fontId="12" fillId="5" borderId="5" xfId="0" applyFont="1" applyFill="1" applyBorder="1" applyAlignment="1">
      <alignment horizontal="right" vertical="center"/>
    </xf>
    <xf numFmtId="0" fontId="7" fillId="2" borderId="0" xfId="0" applyFont="1" applyFill="1"/>
    <xf numFmtId="0" fontId="4" fillId="2" borderId="0" xfId="0" applyFont="1" applyFill="1"/>
    <xf numFmtId="0" fontId="4" fillId="2" borderId="2" xfId="0" applyFont="1" applyFill="1" applyBorder="1"/>
    <xf numFmtId="0" fontId="5" fillId="0" borderId="7" xfId="0" applyFont="1" applyBorder="1" applyAlignment="1">
      <alignment horizontal="left" vertical="top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4" xfId="0" applyBorder="1"/>
    <xf numFmtId="49" fontId="11" fillId="4" borderId="8" xfId="0" applyNumberFormat="1" applyFont="1" applyFill="1" applyBorder="1" applyAlignment="1">
      <alignment horizontal="left" vertical="center"/>
    </xf>
    <xf numFmtId="0" fontId="0" fillId="0" borderId="8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7" fillId="4" borderId="1" xfId="0" applyFont="1" applyFill="1" applyBorder="1" applyAlignment="1">
      <alignment horizontal="left" vertical="center" indent="4"/>
    </xf>
    <xf numFmtId="0" fontId="7" fillId="4" borderId="2" xfId="0" applyFont="1" applyFill="1" applyBorder="1" applyAlignment="1">
      <alignment horizontal="left" vertical="center" indent="4"/>
    </xf>
    <xf numFmtId="49" fontId="11" fillId="4" borderId="7" xfId="0" applyNumberFormat="1" applyFont="1" applyFill="1" applyBorder="1" applyAlignment="1">
      <alignment horizontal="left" vertical="center"/>
    </xf>
    <xf numFmtId="49" fontId="11" fillId="4" borderId="7" xfId="0" applyNumberFormat="1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top"/>
    </xf>
    <xf numFmtId="0" fontId="11" fillId="4" borderId="7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 indent="4"/>
    </xf>
    <xf numFmtId="0" fontId="7" fillId="4" borderId="5" xfId="0" applyFont="1" applyFill="1" applyBorder="1" applyAlignment="1">
      <alignment horizontal="left" vertical="center" indent="4"/>
    </xf>
    <xf numFmtId="49" fontId="11" fillId="4" borderId="8" xfId="0" applyNumberFormat="1" applyFont="1" applyFill="1" applyBorder="1" applyAlignment="1">
      <alignment horizontal="left" vertical="center"/>
    </xf>
    <xf numFmtId="0" fontId="0" fillId="5" borderId="7" xfId="0" applyFill="1" applyBorder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13" fillId="5" borderId="10" xfId="1" applyFont="1" applyFill="1" applyBorder="1" applyAlignment="1" applyProtection="1">
      <alignment horizontal="center"/>
    </xf>
    <xf numFmtId="0" fontId="13" fillId="5" borderId="12" xfId="1" applyFont="1" applyFill="1" applyBorder="1" applyAlignment="1" applyProtection="1">
      <alignment horizontal="center"/>
    </xf>
    <xf numFmtId="0" fontId="13" fillId="5" borderId="11" xfId="1" applyFont="1" applyFill="1" applyBorder="1" applyAlignment="1" applyProtection="1">
      <alignment horizontal="center"/>
    </xf>
    <xf numFmtId="0" fontId="9" fillId="5" borderId="8" xfId="0" applyFont="1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9" fillId="5" borderId="7" xfId="0" applyFont="1" applyFill="1" applyBorder="1" applyAlignment="1">
      <alignment horizontal="left" vertical="top"/>
    </xf>
  </cellXfs>
  <cellStyles count="5">
    <cellStyle name="Hypertextový odkaz" xfId="1" builtinId="8"/>
    <cellStyle name="Hypertextový odkaz 2" xfId="3" xr:uid="{CAFBE0AB-030F-485C-AC27-4D1FD938EFC5}"/>
    <cellStyle name="Normální" xfId="0" builtinId="0"/>
    <cellStyle name="Normální 2" xfId="2" xr:uid="{92E77FF3-9583-4303-BE81-E0FC60C7C82C}"/>
    <cellStyle name="Normální 2 2" xfId="4" xr:uid="{9349FE1C-9629-40E9-A7CC-B95613549B7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7B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BF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276BB"/>
      <color rgb="FFBDD6EE"/>
      <color rgb="FFDEE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kb.unipi.technology/en:hw:03-unipi11" TargetMode="External"/><Relationship Id="rId1" Type="http://schemas.openxmlformats.org/officeDocument/2006/relationships/hyperlink" Target="https://kb.unipi.technology/en:sw:01-mervis:connecting-to-modbus-slave-device-hidd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zoomScaleNormal="100" workbookViewId="0">
      <pane ySplit="5" topLeftCell="A6" activePane="bottomLeft" state="frozen"/>
      <selection pane="bottomLeft" sqref="A1:E1"/>
    </sheetView>
  </sheetViews>
  <sheetFormatPr defaultColWidth="8.5703125" defaultRowHeight="15"/>
  <cols>
    <col min="1" max="2" width="8.140625" customWidth="1"/>
    <col min="3" max="3" width="7.42578125" customWidth="1"/>
    <col min="4" max="4" width="5.28515625" customWidth="1"/>
    <col min="5" max="5" width="13.42578125" customWidth="1"/>
    <col min="6" max="6" width="23.85546875" customWidth="1"/>
    <col min="7" max="7" width="5.42578125" customWidth="1"/>
    <col min="8" max="8" width="10.7109375" customWidth="1"/>
    <col min="9" max="9" width="6.28515625" customWidth="1"/>
    <col min="10" max="10" width="9.85546875" customWidth="1"/>
  </cols>
  <sheetData>
    <row r="1" spans="1:11" ht="21">
      <c r="A1" s="36" t="s">
        <v>0</v>
      </c>
      <c r="B1" s="37"/>
      <c r="C1" s="37"/>
      <c r="D1" s="37"/>
      <c r="E1" s="37"/>
      <c r="F1" s="6"/>
      <c r="G1" s="7"/>
      <c r="H1" s="7"/>
      <c r="I1" s="8"/>
      <c r="J1" s="9"/>
      <c r="K1" s="1"/>
    </row>
    <row r="2" spans="1:11" ht="21">
      <c r="A2" s="43" t="s">
        <v>1</v>
      </c>
      <c r="B2" s="44"/>
      <c r="C2" s="44"/>
      <c r="D2" s="44"/>
      <c r="E2" s="44"/>
      <c r="F2" s="10"/>
      <c r="G2" s="11"/>
      <c r="H2" s="11"/>
      <c r="I2" s="10"/>
      <c r="J2" s="12" t="s">
        <v>2</v>
      </c>
      <c r="K2" s="1"/>
    </row>
    <row r="3" spans="1:11" ht="21">
      <c r="A3" s="13"/>
      <c r="B3" s="20"/>
      <c r="C3" s="20"/>
      <c r="D3" s="1"/>
      <c r="E3" s="14"/>
      <c r="F3" s="14"/>
      <c r="G3" s="14"/>
      <c r="H3" s="14"/>
      <c r="I3" s="14"/>
      <c r="J3" s="14"/>
      <c r="K3" s="1"/>
    </row>
    <row r="4" spans="1:11" ht="18" customHeight="1">
      <c r="A4" s="41" t="s">
        <v>3</v>
      </c>
      <c r="B4" s="42"/>
      <c r="C4" s="41" t="s">
        <v>4</v>
      </c>
      <c r="D4" s="38" t="s">
        <v>5</v>
      </c>
      <c r="E4" s="38" t="s">
        <v>6</v>
      </c>
      <c r="F4" s="39" t="s">
        <v>7</v>
      </c>
      <c r="G4" s="39"/>
      <c r="H4" s="39"/>
      <c r="I4" s="38" t="s">
        <v>8</v>
      </c>
      <c r="J4" s="38" t="s">
        <v>9</v>
      </c>
      <c r="K4" s="1"/>
    </row>
    <row r="5" spans="1:11" ht="18" customHeight="1">
      <c r="A5" s="15" t="s">
        <v>10</v>
      </c>
      <c r="B5" s="15" t="s">
        <v>11</v>
      </c>
      <c r="C5" s="42"/>
      <c r="D5" s="38"/>
      <c r="E5" s="38"/>
      <c r="F5" s="39"/>
      <c r="G5" s="39"/>
      <c r="H5" s="39"/>
      <c r="I5" s="38"/>
      <c r="J5" s="38"/>
      <c r="K5" s="2"/>
    </row>
    <row r="6" spans="1:11">
      <c r="A6" s="40">
        <v>0</v>
      </c>
      <c r="B6" s="40" t="str">
        <f>"0x"&amp;DEC2HEX(A6,4)</f>
        <v>0x0000</v>
      </c>
      <c r="C6" s="40">
        <v>1</v>
      </c>
      <c r="D6" s="40" t="s">
        <v>12</v>
      </c>
      <c r="E6" s="40" t="s">
        <v>13</v>
      </c>
      <c r="F6" s="27" t="s">
        <v>14</v>
      </c>
      <c r="G6" s="28"/>
      <c r="H6" s="26"/>
      <c r="I6" s="24"/>
      <c r="J6" s="40" t="s">
        <v>15</v>
      </c>
    </row>
    <row r="7" spans="1:11">
      <c r="A7" s="40"/>
      <c r="B7" s="40"/>
      <c r="C7" s="40"/>
      <c r="D7" s="40"/>
      <c r="E7" s="40"/>
      <c r="F7" s="27" t="s">
        <v>16</v>
      </c>
      <c r="G7" s="28"/>
      <c r="H7" s="26"/>
      <c r="I7" s="25">
        <v>0</v>
      </c>
      <c r="J7" s="40"/>
    </row>
    <row r="8" spans="1:11">
      <c r="A8" s="40"/>
      <c r="B8" s="40"/>
      <c r="C8" s="40"/>
      <c r="D8" s="40"/>
      <c r="E8" s="40"/>
      <c r="F8" s="27" t="s">
        <v>17</v>
      </c>
      <c r="G8" s="28"/>
      <c r="H8" s="26"/>
      <c r="I8" s="25">
        <v>1</v>
      </c>
      <c r="J8" s="40"/>
    </row>
    <row r="9" spans="1:11">
      <c r="A9" s="40"/>
      <c r="B9" s="40"/>
      <c r="C9" s="40"/>
      <c r="D9" s="40"/>
      <c r="E9" s="40"/>
      <c r="F9" s="27" t="s">
        <v>18</v>
      </c>
      <c r="G9" s="28"/>
      <c r="H9" s="26"/>
      <c r="I9" s="25">
        <v>2</v>
      </c>
      <c r="J9" s="40"/>
    </row>
    <row r="10" spans="1:11">
      <c r="A10" s="40"/>
      <c r="B10" s="40"/>
      <c r="C10" s="40"/>
      <c r="D10" s="40"/>
      <c r="E10" s="40"/>
      <c r="F10" s="27" t="s">
        <v>19</v>
      </c>
      <c r="G10" s="28"/>
      <c r="H10" s="26"/>
      <c r="I10" s="25">
        <v>3</v>
      </c>
      <c r="J10" s="40"/>
    </row>
    <row r="11" spans="1:11">
      <c r="A11" s="40"/>
      <c r="B11" s="40"/>
      <c r="C11" s="40"/>
      <c r="D11" s="40"/>
      <c r="E11" s="40"/>
      <c r="F11" s="27" t="s">
        <v>20</v>
      </c>
      <c r="G11" s="28"/>
      <c r="H11" s="26"/>
      <c r="I11" s="25">
        <v>4</v>
      </c>
      <c r="J11" s="40"/>
    </row>
    <row r="12" spans="1:11">
      <c r="A12" s="40"/>
      <c r="B12" s="40"/>
      <c r="C12" s="40"/>
      <c r="D12" s="40"/>
      <c r="E12" s="40"/>
      <c r="F12" s="27" t="s">
        <v>21</v>
      </c>
      <c r="G12" s="28"/>
      <c r="H12" s="26"/>
      <c r="I12" s="25">
        <v>5</v>
      </c>
      <c r="J12" s="40"/>
    </row>
    <row r="13" spans="1:11">
      <c r="A13" s="34">
        <v>1</v>
      </c>
      <c r="B13" s="34" t="str">
        <f>"0x"&amp;DEC2HEX(A13,4)</f>
        <v>0x0001</v>
      </c>
      <c r="C13" s="34">
        <v>1</v>
      </c>
      <c r="D13" s="34" t="s">
        <v>22</v>
      </c>
      <c r="E13" s="34" t="s">
        <v>13</v>
      </c>
      <c r="F13" s="29" t="s">
        <v>23</v>
      </c>
      <c r="G13" s="30"/>
      <c r="H13" s="31"/>
      <c r="I13" s="25"/>
      <c r="J13" s="34" t="s">
        <v>15</v>
      </c>
    </row>
    <row r="14" spans="1:11">
      <c r="A14" s="35"/>
      <c r="B14" s="35"/>
      <c r="C14" s="35"/>
      <c r="D14" s="35"/>
      <c r="E14" s="35"/>
      <c r="F14" s="29" t="s">
        <v>24</v>
      </c>
      <c r="G14" s="30"/>
      <c r="H14" s="31"/>
      <c r="I14" s="25">
        <v>0</v>
      </c>
      <c r="J14" s="35"/>
    </row>
    <row r="15" spans="1:11">
      <c r="A15" s="35"/>
      <c r="B15" s="35"/>
      <c r="C15" s="35"/>
      <c r="D15" s="35"/>
      <c r="E15" s="35"/>
      <c r="F15" s="29" t="s">
        <v>25</v>
      </c>
      <c r="G15" s="30"/>
      <c r="H15" s="31"/>
      <c r="I15" s="25">
        <v>1</v>
      </c>
      <c r="J15" s="35"/>
    </row>
    <row r="16" spans="1:11">
      <c r="A16" s="35"/>
      <c r="B16" s="35"/>
      <c r="C16" s="35"/>
      <c r="D16" s="35"/>
      <c r="E16" s="35"/>
      <c r="F16" s="29" t="s">
        <v>26</v>
      </c>
      <c r="G16" s="30"/>
      <c r="H16" s="31"/>
      <c r="I16" s="25">
        <v>2</v>
      </c>
      <c r="J16" s="35"/>
    </row>
    <row r="17" spans="1:10">
      <c r="A17" s="35"/>
      <c r="B17" s="35"/>
      <c r="C17" s="35"/>
      <c r="D17" s="35"/>
      <c r="E17" s="35"/>
      <c r="F17" s="29" t="s">
        <v>27</v>
      </c>
      <c r="G17" s="30"/>
      <c r="H17" s="31"/>
      <c r="I17" s="25">
        <v>3</v>
      </c>
      <c r="J17" s="35"/>
    </row>
    <row r="18" spans="1:10">
      <c r="A18" s="35"/>
      <c r="B18" s="35"/>
      <c r="C18" s="35"/>
      <c r="D18" s="35"/>
      <c r="E18" s="35"/>
      <c r="F18" s="29" t="s">
        <v>28</v>
      </c>
      <c r="G18" s="30"/>
      <c r="H18" s="31"/>
      <c r="I18" s="25">
        <v>4</v>
      </c>
      <c r="J18" s="35"/>
    </row>
    <row r="19" spans="1:10">
      <c r="A19" s="35"/>
      <c r="B19" s="35"/>
      <c r="C19" s="35"/>
      <c r="D19" s="35"/>
      <c r="E19" s="35"/>
      <c r="F19" s="29" t="s">
        <v>29</v>
      </c>
      <c r="G19" s="30"/>
      <c r="H19" s="31"/>
      <c r="I19" s="25">
        <v>5</v>
      </c>
      <c r="J19" s="35"/>
    </row>
    <row r="20" spans="1:10">
      <c r="A20" s="25">
        <v>2</v>
      </c>
      <c r="B20" s="24" t="str">
        <f t="shared" ref="B20:B31" si="0">"0x"&amp;DEC2HEX(A20,4)</f>
        <v>0x0002</v>
      </c>
      <c r="C20" s="24">
        <v>2</v>
      </c>
      <c r="D20" s="24" t="s">
        <v>22</v>
      </c>
      <c r="E20" s="24" t="s">
        <v>30</v>
      </c>
      <c r="F20" s="27" t="s">
        <v>31</v>
      </c>
      <c r="G20" s="28"/>
      <c r="H20" s="26"/>
      <c r="I20" s="24"/>
      <c r="J20" s="24" t="s">
        <v>15</v>
      </c>
    </row>
    <row r="21" spans="1:10">
      <c r="A21" s="25">
        <v>4</v>
      </c>
      <c r="B21" s="24" t="str">
        <f t="shared" si="0"/>
        <v>0x0004</v>
      </c>
      <c r="C21" s="24">
        <v>2</v>
      </c>
      <c r="D21" s="24" t="s">
        <v>22</v>
      </c>
      <c r="E21" s="24" t="s">
        <v>30</v>
      </c>
      <c r="F21" s="27" t="s">
        <v>32</v>
      </c>
      <c r="G21" s="28"/>
      <c r="H21" s="26"/>
      <c r="I21" s="24"/>
      <c r="J21" s="24" t="s">
        <v>15</v>
      </c>
    </row>
    <row r="22" spans="1:10">
      <c r="A22" s="25">
        <v>6</v>
      </c>
      <c r="B22" s="24" t="str">
        <f t="shared" si="0"/>
        <v>0x0006</v>
      </c>
      <c r="C22" s="24">
        <v>2</v>
      </c>
      <c r="D22" s="24" t="s">
        <v>22</v>
      </c>
      <c r="E22" s="24" t="s">
        <v>30</v>
      </c>
      <c r="F22" s="27" t="s">
        <v>33</v>
      </c>
      <c r="G22" s="28"/>
      <c r="H22" s="26"/>
      <c r="I22" s="24"/>
      <c r="J22" s="24" t="s">
        <v>15</v>
      </c>
    </row>
    <row r="23" spans="1:10">
      <c r="A23" s="25">
        <v>8</v>
      </c>
      <c r="B23" s="24" t="str">
        <f t="shared" si="0"/>
        <v>0x0008</v>
      </c>
      <c r="C23" s="24">
        <v>2</v>
      </c>
      <c r="D23" s="24" t="s">
        <v>22</v>
      </c>
      <c r="E23" s="24" t="s">
        <v>30</v>
      </c>
      <c r="F23" s="27" t="s">
        <v>34</v>
      </c>
      <c r="G23" s="28"/>
      <c r="H23" s="26"/>
      <c r="I23" s="24"/>
      <c r="J23" s="24" t="s">
        <v>15</v>
      </c>
    </row>
    <row r="24" spans="1:10">
      <c r="A24" s="25">
        <v>10</v>
      </c>
      <c r="B24" s="24" t="str">
        <f t="shared" si="0"/>
        <v>0x000A</v>
      </c>
      <c r="C24" s="24">
        <v>2</v>
      </c>
      <c r="D24" s="24" t="s">
        <v>22</v>
      </c>
      <c r="E24" s="24" t="s">
        <v>30</v>
      </c>
      <c r="F24" s="27" t="s">
        <v>35</v>
      </c>
      <c r="G24" s="28"/>
      <c r="H24" s="26"/>
      <c r="I24" s="24"/>
      <c r="J24" s="24" t="s">
        <v>15</v>
      </c>
    </row>
    <row r="25" spans="1:10">
      <c r="A25" s="25">
        <v>12</v>
      </c>
      <c r="B25" s="24" t="str">
        <f t="shared" si="0"/>
        <v>0x000C</v>
      </c>
      <c r="C25" s="24">
        <v>2</v>
      </c>
      <c r="D25" s="24" t="s">
        <v>22</v>
      </c>
      <c r="E25" s="24" t="s">
        <v>30</v>
      </c>
      <c r="F25" s="27" t="s">
        <v>36</v>
      </c>
      <c r="G25" s="28"/>
      <c r="H25" s="26"/>
      <c r="I25" s="24"/>
      <c r="J25" s="24" t="s">
        <v>15</v>
      </c>
    </row>
    <row r="26" spans="1:10">
      <c r="A26" s="25">
        <v>1010</v>
      </c>
      <c r="B26" s="24" t="str">
        <f t="shared" si="0"/>
        <v>0x03F2</v>
      </c>
      <c r="C26" s="24">
        <v>1</v>
      </c>
      <c r="D26" s="24" t="s">
        <v>22</v>
      </c>
      <c r="E26" s="24" t="s">
        <v>37</v>
      </c>
      <c r="F26" s="27" t="s">
        <v>38</v>
      </c>
      <c r="G26" s="28"/>
      <c r="H26" s="26"/>
      <c r="I26" s="24"/>
      <c r="J26" s="24" t="s">
        <v>39</v>
      </c>
    </row>
    <row r="27" spans="1:10">
      <c r="A27" s="25">
        <v>1011</v>
      </c>
      <c r="B27" s="24" t="str">
        <f t="shared" si="0"/>
        <v>0x03F3</v>
      </c>
      <c r="C27" s="24">
        <v>1</v>
      </c>
      <c r="D27" s="24" t="s">
        <v>22</v>
      </c>
      <c r="E27" s="24" t="s">
        <v>37</v>
      </c>
      <c r="F27" s="27" t="s">
        <v>40</v>
      </c>
      <c r="G27" s="28"/>
      <c r="H27" s="26"/>
      <c r="I27" s="24"/>
      <c r="J27" s="24" t="s">
        <v>39</v>
      </c>
    </row>
    <row r="28" spans="1:10">
      <c r="A28" s="25">
        <v>1012</v>
      </c>
      <c r="B28" s="24" t="str">
        <f t="shared" si="0"/>
        <v>0x03F4</v>
      </c>
      <c r="C28" s="24">
        <v>1</v>
      </c>
      <c r="D28" s="24" t="s">
        <v>22</v>
      </c>
      <c r="E28" s="24" t="s">
        <v>37</v>
      </c>
      <c r="F28" s="27" t="s">
        <v>41</v>
      </c>
      <c r="G28" s="28"/>
      <c r="H28" s="26"/>
      <c r="I28" s="24"/>
      <c r="J28" s="24" t="s">
        <v>39</v>
      </c>
    </row>
    <row r="29" spans="1:10">
      <c r="A29" s="25">
        <v>1013</v>
      </c>
      <c r="B29" s="24" t="str">
        <f t="shared" si="0"/>
        <v>0x03F5</v>
      </c>
      <c r="C29" s="24">
        <v>1</v>
      </c>
      <c r="D29" s="24" t="s">
        <v>22</v>
      </c>
      <c r="E29" s="24" t="s">
        <v>37</v>
      </c>
      <c r="F29" s="27" t="s">
        <v>42</v>
      </c>
      <c r="G29" s="28"/>
      <c r="H29" s="26"/>
      <c r="I29" s="24"/>
      <c r="J29" s="24" t="s">
        <v>39</v>
      </c>
    </row>
    <row r="30" spans="1:10">
      <c r="A30" s="25">
        <v>1014</v>
      </c>
      <c r="B30" s="24" t="str">
        <f t="shared" si="0"/>
        <v>0x03F6</v>
      </c>
      <c r="C30" s="24">
        <v>1</v>
      </c>
      <c r="D30" s="24" t="s">
        <v>22</v>
      </c>
      <c r="E30" s="24" t="s">
        <v>37</v>
      </c>
      <c r="F30" s="27" t="s">
        <v>43</v>
      </c>
      <c r="G30" s="28"/>
      <c r="H30" s="26"/>
      <c r="I30" s="24"/>
      <c r="J30" s="24" t="s">
        <v>39</v>
      </c>
    </row>
    <row r="31" spans="1:10">
      <c r="A31" s="25">
        <v>1015</v>
      </c>
      <c r="B31" s="24" t="str">
        <f t="shared" si="0"/>
        <v>0x03F7</v>
      </c>
      <c r="C31" s="24">
        <v>1</v>
      </c>
      <c r="D31" s="24" t="s">
        <v>22</v>
      </c>
      <c r="E31" s="24" t="s">
        <v>37</v>
      </c>
      <c r="F31" s="27" t="s">
        <v>44</v>
      </c>
      <c r="G31" s="28"/>
      <c r="H31" s="26"/>
      <c r="I31" s="24"/>
      <c r="J31" s="24" t="s">
        <v>39</v>
      </c>
    </row>
  </sheetData>
  <autoFilter ref="A5:J5" xr:uid="{00000000-0001-0000-0000-000000000000}">
    <filterColumn colId="5" showButton="0"/>
    <filterColumn colId="6" showButton="0"/>
  </autoFilter>
  <mergeCells count="21">
    <mergeCell ref="C4:C5"/>
    <mergeCell ref="A2:E2"/>
    <mergeCell ref="C13:C19"/>
    <mergeCell ref="B13:B19"/>
    <mergeCell ref="A13:A19"/>
    <mergeCell ref="J13:J19"/>
    <mergeCell ref="E13:E19"/>
    <mergeCell ref="D13:D19"/>
    <mergeCell ref="A1:E1"/>
    <mergeCell ref="D4:D5"/>
    <mergeCell ref="E4:E5"/>
    <mergeCell ref="F4:H5"/>
    <mergeCell ref="J6:J12"/>
    <mergeCell ref="A6:A12"/>
    <mergeCell ref="B6:B12"/>
    <mergeCell ref="C6:C12"/>
    <mergeCell ref="D6:D12"/>
    <mergeCell ref="E6:E12"/>
    <mergeCell ref="I4:I5"/>
    <mergeCell ref="J4:J5"/>
    <mergeCell ref="A4:B4"/>
  </mergeCells>
  <phoneticPr fontId="10" type="noConversion"/>
  <pageMargins left="0.25" right="0.25" top="0.75" bottom="0.75" header="0.3" footer="0.3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Normal="100" workbookViewId="0">
      <pane ySplit="5" topLeftCell="A6" activePane="bottomLeft" state="frozen"/>
      <selection pane="bottomLeft" sqref="A1:D1"/>
    </sheetView>
  </sheetViews>
  <sheetFormatPr defaultColWidth="8.5703125" defaultRowHeight="15"/>
  <cols>
    <col min="1" max="2" width="8.140625" customWidth="1"/>
    <col min="3" max="3" width="5.85546875" customWidth="1"/>
    <col min="4" max="4" width="60" customWidth="1"/>
    <col min="5" max="5" width="10.42578125" customWidth="1"/>
  </cols>
  <sheetData>
    <row r="1" spans="1:8" ht="21">
      <c r="A1" s="36" t="str">
        <f>Registers!A1</f>
        <v>Unipi Lite</v>
      </c>
      <c r="B1" s="37"/>
      <c r="C1" s="37"/>
      <c r="D1" s="37"/>
      <c r="E1" s="9"/>
      <c r="F1" s="1"/>
      <c r="G1" s="1"/>
      <c r="H1" s="1"/>
    </row>
    <row r="2" spans="1:8" ht="21">
      <c r="A2" s="43" t="s">
        <v>45</v>
      </c>
      <c r="B2" s="44"/>
      <c r="C2" s="44"/>
      <c r="D2" s="44"/>
      <c r="E2" s="12" t="str">
        <f>Registers!J2</f>
        <v>v1.0</v>
      </c>
      <c r="F2" s="1"/>
      <c r="G2" s="1"/>
      <c r="H2" s="1"/>
    </row>
    <row r="3" spans="1:8" ht="21">
      <c r="A3" s="22"/>
      <c r="B3" s="21"/>
      <c r="C3" s="1"/>
      <c r="D3" s="14"/>
      <c r="E3" s="1"/>
      <c r="F3" s="1"/>
      <c r="G3" s="1"/>
      <c r="H3" s="1"/>
    </row>
    <row r="4" spans="1:8" ht="21">
      <c r="A4" s="41" t="s">
        <v>3</v>
      </c>
      <c r="B4" s="42"/>
      <c r="C4" s="38" t="s">
        <v>5</v>
      </c>
      <c r="D4" s="38" t="s">
        <v>7</v>
      </c>
      <c r="E4" s="38" t="s">
        <v>9</v>
      </c>
      <c r="F4" s="1"/>
      <c r="G4" s="1"/>
      <c r="H4" s="1"/>
    </row>
    <row r="5" spans="1:8" ht="22.5" customHeight="1">
      <c r="A5" s="33" t="s">
        <v>10</v>
      </c>
      <c r="B5" s="33" t="s">
        <v>11</v>
      </c>
      <c r="C5" s="45"/>
      <c r="D5" s="45"/>
      <c r="E5" s="45"/>
      <c r="F5" s="2"/>
      <c r="G5" s="2"/>
      <c r="H5" s="2"/>
    </row>
    <row r="6" spans="1:8">
      <c r="A6" s="32">
        <v>0</v>
      </c>
      <c r="B6" s="32" t="str">
        <f>"0x"&amp;DEC2HEX(A6,4)</f>
        <v>0x0000</v>
      </c>
      <c r="C6" s="32" t="s">
        <v>22</v>
      </c>
      <c r="D6" s="32" t="s">
        <v>24</v>
      </c>
      <c r="E6" s="32" t="s">
        <v>15</v>
      </c>
    </row>
    <row r="7" spans="1:8">
      <c r="A7" s="32">
        <v>1</v>
      </c>
      <c r="B7" s="32" t="str">
        <f t="shared" ref="B7:B11" si="0">"0x"&amp;DEC2HEX(A7,4)</f>
        <v>0x0001</v>
      </c>
      <c r="C7" s="32" t="s">
        <v>22</v>
      </c>
      <c r="D7" s="32" t="s">
        <v>25</v>
      </c>
      <c r="E7" s="32" t="s">
        <v>15</v>
      </c>
    </row>
    <row r="8" spans="1:8">
      <c r="A8" s="32">
        <v>2</v>
      </c>
      <c r="B8" s="32" t="str">
        <f t="shared" si="0"/>
        <v>0x0002</v>
      </c>
      <c r="C8" s="32" t="s">
        <v>22</v>
      </c>
      <c r="D8" s="32" t="s">
        <v>26</v>
      </c>
      <c r="E8" s="32" t="s">
        <v>15</v>
      </c>
    </row>
    <row r="9" spans="1:8">
      <c r="A9" s="32">
        <v>3</v>
      </c>
      <c r="B9" s="32" t="str">
        <f t="shared" si="0"/>
        <v>0x0003</v>
      </c>
      <c r="C9" s="32" t="s">
        <v>22</v>
      </c>
      <c r="D9" s="32" t="s">
        <v>27</v>
      </c>
      <c r="E9" s="32" t="s">
        <v>15</v>
      </c>
    </row>
    <row r="10" spans="1:8">
      <c r="A10" s="32">
        <v>4</v>
      </c>
      <c r="B10" s="32" t="str">
        <f t="shared" si="0"/>
        <v>0x0004</v>
      </c>
      <c r="C10" s="32" t="s">
        <v>22</v>
      </c>
      <c r="D10" s="32" t="s">
        <v>28</v>
      </c>
      <c r="E10" s="32" t="s">
        <v>15</v>
      </c>
    </row>
    <row r="11" spans="1:8">
      <c r="A11" s="32">
        <v>5</v>
      </c>
      <c r="B11" s="32" t="str">
        <f t="shared" si="0"/>
        <v>0x0005</v>
      </c>
      <c r="C11" s="32" t="s">
        <v>22</v>
      </c>
      <c r="D11" s="32" t="s">
        <v>29</v>
      </c>
      <c r="E11" s="32" t="s">
        <v>15</v>
      </c>
    </row>
  </sheetData>
  <autoFilter ref="A5:E5" xr:uid="{00000000-0001-0000-0100-000000000000}"/>
  <mergeCells count="6">
    <mergeCell ref="A1:D1"/>
    <mergeCell ref="A2:D2"/>
    <mergeCell ref="E4:E5"/>
    <mergeCell ref="D4:D5"/>
    <mergeCell ref="C4:C5"/>
    <mergeCell ref="A4:B4"/>
  </mergeCells>
  <phoneticPr fontId="10" type="noConversion"/>
  <pageMargins left="0.7" right="0.7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>
      <selection sqref="A1:C1"/>
    </sheetView>
  </sheetViews>
  <sheetFormatPr defaultColWidth="8.5703125" defaultRowHeight="15"/>
  <cols>
    <col min="2" max="2" width="6.85546875" customWidth="1"/>
    <col min="3" max="3" width="17.140625" style="5" customWidth="1"/>
    <col min="4" max="4" width="16.85546875" style="5" customWidth="1"/>
    <col min="5" max="5" width="18.28515625" customWidth="1"/>
    <col min="6" max="6" width="8.42578125" customWidth="1"/>
    <col min="7" max="7" width="24.5703125" customWidth="1"/>
    <col min="8" max="8" width="130" customWidth="1"/>
  </cols>
  <sheetData>
    <row r="1" spans="1:8" ht="21">
      <c r="A1" s="36" t="str">
        <f>Registers!A1</f>
        <v>Unipi Lite</v>
      </c>
      <c r="B1" s="37"/>
      <c r="C1" s="37"/>
      <c r="D1" s="8"/>
      <c r="E1" s="8"/>
      <c r="F1" s="9"/>
    </row>
    <row r="2" spans="1:8" ht="21">
      <c r="A2" s="43" t="s">
        <v>46</v>
      </c>
      <c r="B2" s="44"/>
      <c r="C2" s="44"/>
      <c r="D2" s="19"/>
      <c r="E2" s="19"/>
      <c r="F2" s="12" t="str">
        <f>Registers!J2</f>
        <v>v1.0</v>
      </c>
    </row>
    <row r="4" spans="1:8">
      <c r="B4" s="48" t="s">
        <v>47</v>
      </c>
      <c r="C4" s="49"/>
      <c r="D4" s="49"/>
      <c r="E4" s="50"/>
    </row>
    <row r="5" spans="1:8">
      <c r="G5" s="3"/>
      <c r="H5" s="4"/>
    </row>
    <row r="6" spans="1:8">
      <c r="B6" s="53" t="s">
        <v>48</v>
      </c>
      <c r="C6" s="53"/>
      <c r="D6" s="53"/>
      <c r="E6" s="53"/>
      <c r="G6" s="3"/>
      <c r="H6" s="4"/>
    </row>
    <row r="7" spans="1:8">
      <c r="B7" s="52" t="s">
        <v>49</v>
      </c>
      <c r="C7" s="52"/>
      <c r="D7" s="52"/>
      <c r="E7" s="52"/>
    </row>
    <row r="10" spans="1:8">
      <c r="B10" s="51" t="s">
        <v>50</v>
      </c>
      <c r="C10" s="51"/>
      <c r="D10" s="51"/>
      <c r="E10" s="51"/>
    </row>
    <row r="11" spans="1:8">
      <c r="B11" s="16"/>
      <c r="C11" s="16" t="s">
        <v>51</v>
      </c>
      <c r="D11" s="16" t="s">
        <v>52</v>
      </c>
      <c r="E11" s="16" t="s">
        <v>46</v>
      </c>
    </row>
    <row r="12" spans="1:8">
      <c r="B12" s="47" t="s">
        <v>53</v>
      </c>
      <c r="C12" s="18" t="s">
        <v>54</v>
      </c>
      <c r="D12" s="17">
        <v>0</v>
      </c>
      <c r="E12" s="17" t="s">
        <v>55</v>
      </c>
    </row>
    <row r="13" spans="1:8">
      <c r="B13" s="47"/>
      <c r="C13" s="18" t="s">
        <v>56</v>
      </c>
      <c r="D13" s="17">
        <v>0</v>
      </c>
      <c r="E13" s="17" t="s">
        <v>57</v>
      </c>
    </row>
    <row r="14" spans="1:8">
      <c r="B14" s="23" t="s">
        <v>58</v>
      </c>
      <c r="C14" s="18" t="s">
        <v>59</v>
      </c>
      <c r="D14" s="17">
        <v>0</v>
      </c>
      <c r="E14" s="17" t="s">
        <v>60</v>
      </c>
    </row>
    <row r="15" spans="1:8">
      <c r="B15" s="46" t="s">
        <v>61</v>
      </c>
      <c r="C15" s="46"/>
      <c r="D15" s="46"/>
      <c r="E15" s="46"/>
    </row>
  </sheetData>
  <mergeCells count="8">
    <mergeCell ref="B15:E15"/>
    <mergeCell ref="A2:C2"/>
    <mergeCell ref="A1:C1"/>
    <mergeCell ref="B12:B13"/>
    <mergeCell ref="B4:E4"/>
    <mergeCell ref="B10:E10"/>
    <mergeCell ref="B7:E7"/>
    <mergeCell ref="B6:E6"/>
  </mergeCells>
  <hyperlinks>
    <hyperlink ref="B4" r:id="rId1" display="Pro více informací navštivte UniPi Knowledge " xr:uid="{00000000-0004-0000-0200-000000000000}"/>
    <hyperlink ref="B4:E4" r:id="rId2" display="Check out the Unipi Knowledge base for more information" xr:uid="{685EA204-FEB8-46A9-8729-AFB7C3FD75C5}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7A5C3C209154AAEFB51DE7FCEE6AB" ma:contentTypeVersion="18" ma:contentTypeDescription="Create a new document." ma:contentTypeScope="" ma:versionID="133ae47fe47cb657f5d2f1efb6bcff3c">
  <xsd:schema xmlns:xsd="http://www.w3.org/2001/XMLSchema" xmlns:xs="http://www.w3.org/2001/XMLSchema" xmlns:p="http://schemas.microsoft.com/office/2006/metadata/properties" xmlns:ns2="754a2854-1b47-403b-b04a-6871107d69e4" xmlns:ns3="fb7a71cc-2620-4a53-ad4a-f4ea3990e342" targetNamespace="http://schemas.microsoft.com/office/2006/metadata/properties" ma:root="true" ma:fieldsID="8968173230a36d114fa956897aa07d49" ns2:_="" ns3:_="">
    <xsd:import namespace="754a2854-1b47-403b-b04a-6871107d69e4"/>
    <xsd:import namespace="fb7a71cc-2620-4a53-ad4a-f4ea3990e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a2854-1b47-403b-b04a-6871107d6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718f396-f7cd-4c79-b03c-db26067426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a71cc-2620-4a53-ad4a-f4ea3990e34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b2a4307-5c84-42f5-9825-8947339e26b5}" ma:internalName="TaxCatchAll" ma:showField="CatchAllData" ma:web="fb7a71cc-2620-4a53-ad4a-f4ea3990e3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7a71cc-2620-4a53-ad4a-f4ea3990e342" xsi:nil="true"/>
    <lcf76f155ced4ddcb4097134ff3c332f xmlns="754a2854-1b47-403b-b04a-6871107d69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A7531D-6A7F-4DB9-B97A-57C1F6F37AE2}"/>
</file>

<file path=customXml/itemProps2.xml><?xml version="1.0" encoding="utf-8"?>
<ds:datastoreItem xmlns:ds="http://schemas.openxmlformats.org/officeDocument/2006/customXml" ds:itemID="{5136C45B-F753-4232-B962-DB5BF0D2AA4E}"/>
</file>

<file path=customXml/itemProps3.xml><?xml version="1.0" encoding="utf-8"?>
<ds:datastoreItem xmlns:ds="http://schemas.openxmlformats.org/officeDocument/2006/customXml" ds:itemID="{23E3AF3F-650B-4E4A-A6BC-9A1495243B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UniPi.technology - Tomas Hora</dc:creator>
  <cp:keywords/>
  <dc:description/>
  <cp:lastModifiedBy>Antonín Všetula</cp:lastModifiedBy>
  <cp:revision>18</cp:revision>
  <dcterms:created xsi:type="dcterms:W3CDTF">2019-07-10T12:14:17Z</dcterms:created>
  <dcterms:modified xsi:type="dcterms:W3CDTF">2024-10-31T14:14:58Z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0x01010097B7A5C3C209154AAEFB51DE7FCEE6AB</vt:lpwstr>
  </property>
  <property fmtid="{D5CDD505-2E9C-101B-9397-08002B2CF9AE}" pid="9" name="MediaServiceImageTags">
    <vt:lpwstr/>
  </property>
</Properties>
</file>